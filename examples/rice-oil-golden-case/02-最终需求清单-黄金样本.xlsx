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重庆\2026\26年降本\skill\Original data\"/>
    </mc:Choice>
  </mc:AlternateContent>
  <bookViews>
    <workbookView windowWidth="19200" windowHeight="6420"/>
  </bookViews>
  <sheets>
    <sheet name="Sheet1" sheetId="2" r:id="rId1"/>
  </sheets>
  <definedNames>
    <definedName name="_xlnm._FilterDatabase" localSheetId="0" hidden="1">Sheet1!$B$8:$K$27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<sst xmlns="http://schemas.openxmlformats.org/spreadsheetml/2006/main" count="92" uniqueCount="40">
  <si>
    <t>报价单—重庆区域2025-2026年米面粮油物资框架</t>
  </si>
  <si>
    <t>报价单位</t>
  </si>
  <si>
    <t>联系人</t>
  </si>
  <si>
    <t>电话</t>
  </si>
  <si>
    <t>地址</t>
  </si>
  <si>
    <t>报价时间：</t>
  </si>
  <si>
    <r>
      <t>1、为综合报价，</t>
    </r>
    <r>
      <rPr>
        <b/>
        <sz val="10"/>
        <color indexed="10"/>
        <rFont val="楷体"/>
        <family val="3"/>
        <charset val="134"/>
      </rPr>
      <t>报价需含税含运;</t>
    </r>
    <r>
      <rPr>
        <b/>
        <sz val="10"/>
        <rFont val="楷体"/>
        <family val="3"/>
        <charset val="134"/>
      </rPr>
      <t>年度预估量采购为参考，最终以项目平台下单实际数量为准;
2、评标规则：</t>
    </r>
    <r>
      <rPr>
        <sz val="10"/>
        <rFont val="楷体"/>
        <family val="3"/>
        <charset val="134"/>
      </rPr>
      <t>未税总价最低拟中选（排名）（含税金额=含税单价*预估数量）;</t>
    </r>
    <r>
      <rPr>
        <b/>
        <sz val="10"/>
        <rFont val="楷体"/>
        <family val="3"/>
        <charset val="134"/>
      </rPr>
      <t xml:space="preserve">
3、本次计划定1家（排名）具体签约数量以开标约谈为准，中标供应商产品上架平台，具体产品以约谈签署数量为准；
4、付款方式：</t>
    </r>
    <r>
      <rPr>
        <sz val="10"/>
        <rFont val="楷体"/>
        <family val="3"/>
        <charset val="134"/>
      </rPr>
      <t>在收货确认之日起[120]个自然日内支付款项；具体如下：
a.对账期：收货确认之日起 [5] 个自然日内，甲乙双方完成对账确认。
b.开票期：乙方应在对账确认后的 [10] 个自然日内向甲方开具全额有效发票。
c.结算期：甲方在收到乙方开具的有效发票后 [105]个自然日内完成款项支付。</t>
    </r>
    <r>
      <rPr>
        <b/>
        <sz val="10"/>
        <rFont val="楷体"/>
        <family val="3"/>
        <charset val="134"/>
      </rPr>
      <t xml:space="preserve">
5、配送范围：</t>
    </r>
    <r>
      <rPr>
        <sz val="10"/>
        <rFont val="楷体"/>
        <family val="3"/>
        <charset val="134"/>
      </rPr>
      <t>重庆市、贵州省</t>
    </r>
    <r>
      <rPr>
        <b/>
        <sz val="10"/>
        <rFont val="楷体"/>
        <family val="3"/>
        <charset val="134"/>
      </rPr>
      <t xml:space="preserve">
6、合作期限：</t>
    </r>
    <r>
      <rPr>
        <sz val="10"/>
        <rFont val="楷体"/>
        <family val="3"/>
        <charset val="134"/>
      </rPr>
      <t>1年;</t>
    </r>
    <r>
      <rPr>
        <b/>
        <sz val="10"/>
        <rFont val="楷体"/>
        <family val="3"/>
        <charset val="134"/>
      </rPr>
      <t xml:space="preserve">
7、招标对接人：</t>
    </r>
    <r>
      <rPr>
        <sz val="10"/>
        <rFont val="楷体"/>
        <family val="3"/>
        <charset val="134"/>
      </rPr>
      <t>秦臻 13628322268；</t>
    </r>
  </si>
  <si>
    <t>序号</t>
  </si>
  <si>
    <t>名称</t>
  </si>
  <si>
    <t>品牌</t>
  </si>
  <si>
    <t>规格</t>
  </si>
  <si>
    <t>单位</t>
  </si>
  <si>
    <t>起订量</t>
  </si>
  <si>
    <t>年度预计采购量</t>
  </si>
  <si>
    <t>含税单价</t>
  </si>
  <si>
    <t>未税单价</t>
  </si>
  <si>
    <t>税率</t>
  </si>
  <si>
    <t>含税总价</t>
  </si>
  <si>
    <t>备注</t>
  </si>
  <si>
    <t>特香低芥酸菜籽油（非转基因）</t>
  </si>
  <si>
    <t>金龙鱼</t>
  </si>
  <si>
    <t>5L/桶</t>
  </si>
  <si>
    <t>桶</t>
  </si>
  <si>
    <t>4L/桶</t>
  </si>
  <si>
    <t>压榨本香菜籽油（非转基因）</t>
  </si>
  <si>
    <t>纯香菜籽油（非转基因）</t>
  </si>
  <si>
    <t>福临门</t>
  </si>
  <si>
    <t>AE营养多纯香菜籽油（非转基因）</t>
  </si>
  <si>
    <t>1.8L/瓶</t>
  </si>
  <si>
    <t>瓶</t>
  </si>
  <si>
    <t>玉米油黄金产地压榨一级食用油（非转基因）</t>
  </si>
  <si>
    <t>黄金比例食用植物调和油（非转基因）</t>
  </si>
  <si>
    <t>优质东北大米</t>
  </si>
  <si>
    <t>5KG/袋</t>
  </si>
  <si>
    <t>袋</t>
  </si>
  <si>
    <t>寒地东北大米</t>
  </si>
  <si>
    <t>精选珍珠米</t>
  </si>
  <si>
    <t>优选泰香米</t>
  </si>
  <si>
    <t>香纳兰</t>
  </si>
  <si>
    <t>含税合计总价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</si>
</sst>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0.00_ "/>
    <numFmt numFmtId="181" formatCode="#,##0.00_);[Red]\(#,##0.00\)"/>
    <numFmt numFmtId="182" formatCode="0.00_);[Red]\(0.00\)"/>
  </numFmts>
  <fonts count="29">
    <font>
      <sz val="10"/>
      <name val="Arial"/>
      <family val="2"/>
      <charset val="0"/>
    </font>
    <font>
      <b/>
      <sz val="10"/>
      <name val="楷体"/>
      <family val="3"/>
      <charset val="134"/>
    </font>
    <font>
      <sz val="10"/>
      <name val="楷体"/>
      <family val="3"/>
      <charset val="134"/>
    </font>
    <font>
      <b/>
      <sz val="10"/>
      <name val="Arial"/>
      <family val="2"/>
      <charset val="0"/>
    </font>
    <font>
      <b/>
      <sz val="12"/>
      <name val="楷体"/>
      <family val="3"/>
      <charset val="134"/>
    </font>
    <font>
      <b/>
      <sz val="11"/>
      <name val="楷体"/>
      <family val="3"/>
      <charset val="134"/>
    </font>
    <font>
      <b/>
      <sz val="10"/>
      <color rgb="FFFF0000"/>
      <name val="楷体"/>
      <family val="3"/>
      <charset val="134"/>
    </font>
    <font>
      <sz val="10"/>
      <name val="KaiTi"/>
      <family val="3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Calibri"/>
      <family val="2"/>
      <charset val="0"/>
    </font>
    <font>
      <b/>
      <sz val="10"/>
      <color indexed="10"/>
      <name val="楷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0" borderId="0"/>
    <xf numFmtId="0" fontId="27" fillId="0" borderId="0" applyFill="0" applyProtection="0"/>
    <xf numFmtId="0" fontId="27" fillId="0" borderId="0" applyFill="0" applyProtection="0"/>
    <xf numFmtId="0" fontId="0" fillId="0" borderId="0"/>
  </cellStyleXfs>
  <cellXfs count="30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1" xfId="49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left" vertical="center" wrapText="1"/>
    </xf>
    <xf numFmtId="0" fontId="5" fillId="2" borderId="3" xfId="49" applyFont="1" applyFill="1" applyBorder="1" applyAlignment="1">
      <alignment horizontal="left" vertical="center" wrapText="1"/>
    </xf>
    <xf numFmtId="0" fontId="5" fillId="2" borderId="2" xfId="49" applyFont="1" applyFill="1" applyBorder="1" applyAlignment="1">
      <alignment horizontal="center" vertical="center" wrapText="1"/>
    </xf>
    <xf numFmtId="0" fontId="5" fillId="2" borderId="4" xfId="49" applyFont="1" applyFill="1" applyBorder="1" applyAlignment="1">
      <alignment horizontal="center" vertical="center" wrapText="1"/>
    </xf>
    <xf numFmtId="0" fontId="5" fillId="2" borderId="3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0" fontId="6" fillId="2" borderId="1" xfId="52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81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182" fontId="7" fillId="0" borderId="1" xfId="0" applyNumberFormat="1" applyFont="1" applyBorder="1" applyAlignment="1">
      <alignment horizontal="center" vertical="center" wrapText="1"/>
    </xf>
    <xf numFmtId="182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7" xfId="51"/>
    <cellStyle name="样式 1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zoomScale="85" zoomScaleNormal="85" zoomScaleSheetLayoutView="60" topLeftCell="A7" workbookViewId="0">
      <selection activeCell="G15" sqref="A1:L27"/>
    </sheetView>
  </sheetViews>
  <sheetFormatPr defaultColWidth="8.72727272727273" defaultRowHeight="12.5"/>
  <cols>
    <col min="1" max="1" width="5.45454545454545" customWidth="1"/>
    <col min="2" max="2" width="39.8181818181818" customWidth="1"/>
    <col min="3" max="4" width="9.63636363636364"/>
    <col min="5" max="5" width="6" customWidth="1"/>
    <col min="6" max="6" width="9.27272727272727" customWidth="1"/>
    <col min="7" max="7" width="9.81818181818182" customWidth="1"/>
    <col min="8" max="8" width="10.3636363636364" customWidth="1"/>
    <col min="9" max="9" width="11.0909090909091" customWidth="1"/>
    <col min="10" max="10" width="7.09090909090909" customWidth="1"/>
    <col min="11" max="11" width="14.1818181818182" style="5" customWidth="1"/>
    <col min="12" max="12" width="10.4545454545455" customWidth="1"/>
  </cols>
  <sheetData>
    <row r="1" ht="22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14" customHeight="1" spans="1:12">
      <c r="A2" s="7" t="s">
        <v>1</v>
      </c>
      <c r="B2" s="8"/>
      <c r="C2" s="9"/>
      <c r="D2" s="10"/>
      <c r="E2" s="10"/>
      <c r="F2" s="10"/>
      <c r="G2" s="10"/>
      <c r="H2" s="10"/>
      <c r="I2" s="10"/>
      <c r="J2" s="10"/>
      <c r="K2" s="10"/>
      <c r="L2" s="11"/>
    </row>
    <row r="3" ht="14" customHeight="1" spans="1:12">
      <c r="A3" s="7" t="s">
        <v>2</v>
      </c>
      <c r="B3" s="8"/>
      <c r="C3" s="9"/>
      <c r="D3" s="10"/>
      <c r="E3" s="10"/>
      <c r="F3" s="10"/>
      <c r="G3" s="10"/>
      <c r="H3" s="10"/>
      <c r="I3" s="10"/>
      <c r="J3" s="10"/>
      <c r="K3" s="10"/>
      <c r="L3" s="11"/>
    </row>
    <row r="4" ht="14" spans="1:12">
      <c r="A4" s="7" t="s">
        <v>3</v>
      </c>
      <c r="B4" s="8"/>
      <c r="C4" s="9"/>
      <c r="D4" s="10"/>
      <c r="E4" s="10"/>
      <c r="F4" s="10"/>
      <c r="G4" s="10"/>
      <c r="H4" s="10"/>
      <c r="I4" s="10"/>
      <c r="J4" s="10"/>
      <c r="K4" s="10"/>
      <c r="L4" s="11"/>
    </row>
    <row r="5" ht="14" spans="1:12">
      <c r="A5" s="7" t="s">
        <v>4</v>
      </c>
      <c r="B5" s="8"/>
      <c r="C5" s="9"/>
      <c r="D5" s="10"/>
      <c r="E5" s="10"/>
      <c r="F5" s="10"/>
      <c r="G5" s="10"/>
      <c r="H5" s="10"/>
      <c r="I5" s="10"/>
      <c r="J5" s="10"/>
      <c r="K5" s="10"/>
      <c r="L5" s="11"/>
    </row>
    <row r="6" ht="14" customHeight="1" spans="1:12">
      <c r="A6" s="7" t="s">
        <v>5</v>
      </c>
      <c r="B6" s="8"/>
      <c r="C6" s="9"/>
      <c r="D6" s="10"/>
      <c r="E6" s="10"/>
      <c r="F6" s="10"/>
      <c r="G6" s="10"/>
      <c r="H6" s="10"/>
      <c r="I6" s="10"/>
      <c r="J6" s="10"/>
      <c r="K6" s="10"/>
      <c r="L6" s="11"/>
    </row>
    <row r="7" ht="138.5" customHeight="1" spans="1:12">
      <c r="A7" s="12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="1" customFormat="1" ht="26.5" customHeight="1" spans="1:12">
      <c r="A8" s="13" t="s">
        <v>7</v>
      </c>
      <c r="B8" s="14" t="s">
        <v>8</v>
      </c>
      <c r="C8" s="14" t="s">
        <v>9</v>
      </c>
      <c r="D8" s="15" t="s">
        <v>10</v>
      </c>
      <c r="E8" s="15" t="s">
        <v>11</v>
      </c>
      <c r="F8" s="15" t="s">
        <v>12</v>
      </c>
      <c r="G8" s="15" t="s">
        <v>13</v>
      </c>
      <c r="H8" s="16" t="s">
        <v>14</v>
      </c>
      <c r="I8" s="16" t="s">
        <v>15</v>
      </c>
      <c r="J8" s="16" t="s">
        <v>16</v>
      </c>
      <c r="K8" s="16" t="s">
        <v>17</v>
      </c>
      <c r="L8" s="17" t="s">
        <v>18</v>
      </c>
    </row>
    <row r="9" s="2" customFormat="1" ht="13" spans="1:12">
      <c r="A9" s="18">
        <v>1</v>
      </c>
      <c r="B9" s="19" t="s">
        <v>19</v>
      </c>
      <c r="C9" s="19" t="s">
        <v>20</v>
      </c>
      <c r="D9" s="19" t="s">
        <v>21</v>
      </c>
      <c r="E9" s="19" t="s">
        <v>22</v>
      </c>
      <c r="F9" s="19">
        <v>40</v>
      </c>
      <c r="G9" s="19">
        <v>3893</v>
      </c>
      <c r="H9" s="20"/>
      <c r="I9" s="21"/>
      <c r="J9" s="22"/>
      <c r="K9" s="23">
        <f t="shared" ref="K9:K26" si="0">H9*G9</f>
        <v>0</v>
      </c>
      <c r="L9" s="24"/>
    </row>
    <row r="10" s="2" customFormat="1" ht="13" spans="1:12">
      <c r="A10" s="18">
        <v>2</v>
      </c>
      <c r="B10" s="19" t="s">
        <v>19</v>
      </c>
      <c r="C10" s="19" t="s">
        <v>20</v>
      </c>
      <c r="D10" s="19" t="s">
        <v>21</v>
      </c>
      <c r="E10" s="19" t="s">
        <v>22</v>
      </c>
      <c r="F10" s="19">
        <v>40</v>
      </c>
      <c r="G10" s="19">
        <v>558</v>
      </c>
      <c r="H10" s="20"/>
      <c r="I10" s="21"/>
      <c r="J10" s="22"/>
      <c r="K10" s="23">
        <f t="shared" si="0"/>
        <v>0</v>
      </c>
      <c r="L10" s="24"/>
    </row>
    <row r="11" s="2" customFormat="1" ht="14" customHeight="1" spans="1:12">
      <c r="A11" s="18">
        <v>3</v>
      </c>
      <c r="B11" s="19" t="s">
        <v>19</v>
      </c>
      <c r="C11" s="19" t="s">
        <v>20</v>
      </c>
      <c r="D11" s="19" t="s">
        <v>23</v>
      </c>
      <c r="E11" s="19" t="s">
        <v>22</v>
      </c>
      <c r="F11" s="19">
        <v>40</v>
      </c>
      <c r="G11" s="19">
        <v>1736</v>
      </c>
      <c r="H11" s="20"/>
      <c r="I11" s="21"/>
      <c r="J11" s="22"/>
      <c r="K11" s="23">
        <f t="shared" si="0"/>
        <v>0</v>
      </c>
      <c r="L11" s="24"/>
    </row>
    <row r="12" s="3" customFormat="1" ht="13" spans="1:12">
      <c r="A12" s="18">
        <v>4</v>
      </c>
      <c r="B12" s="19" t="s">
        <v>19</v>
      </c>
      <c r="C12" s="19" t="s">
        <v>20</v>
      </c>
      <c r="D12" s="19" t="s">
        <v>23</v>
      </c>
      <c r="E12" s="19" t="s">
        <v>22</v>
      </c>
      <c r="F12" s="19">
        <v>40</v>
      </c>
      <c r="G12" s="19">
        <v>4037</v>
      </c>
      <c r="H12" s="20"/>
      <c r="I12" s="21"/>
      <c r="J12" s="22"/>
      <c r="K12" s="23">
        <f t="shared" si="0"/>
        <v>0</v>
      </c>
      <c r="L12" s="24"/>
    </row>
    <row r="13" s="3" customFormat="1" ht="13" spans="1:12">
      <c r="A13" s="18">
        <v>5</v>
      </c>
      <c r="B13" s="19" t="s">
        <v>24</v>
      </c>
      <c r="C13" s="19" t="s">
        <v>20</v>
      </c>
      <c r="D13" s="19" t="s">
        <v>21</v>
      </c>
      <c r="E13" s="19" t="s">
        <v>22</v>
      </c>
      <c r="F13" s="19">
        <v>40</v>
      </c>
      <c r="G13" s="19">
        <v>1040</v>
      </c>
      <c r="H13" s="20"/>
      <c r="I13" s="21"/>
      <c r="J13" s="22"/>
      <c r="K13" s="23">
        <f t="shared" si="0"/>
        <v>0</v>
      </c>
      <c r="L13" s="24"/>
    </row>
    <row r="14" s="3" customFormat="1" ht="13" spans="1:12">
      <c r="A14" s="18">
        <v>6</v>
      </c>
      <c r="B14" s="19" t="s">
        <v>24</v>
      </c>
      <c r="C14" s="19" t="s">
        <v>20</v>
      </c>
      <c r="D14" s="19" t="s">
        <v>21</v>
      </c>
      <c r="E14" s="19" t="s">
        <v>22</v>
      </c>
      <c r="F14" s="19">
        <v>40</v>
      </c>
      <c r="G14" s="19">
        <v>150</v>
      </c>
      <c r="H14" s="20"/>
      <c r="I14" s="21"/>
      <c r="J14" s="22"/>
      <c r="K14" s="23">
        <f t="shared" si="0"/>
        <v>0</v>
      </c>
      <c r="L14" s="24"/>
    </row>
    <row r="15" s="3" customFormat="1" ht="13" spans="1:12">
      <c r="A15" s="18">
        <v>7</v>
      </c>
      <c r="B15" s="19" t="s">
        <v>25</v>
      </c>
      <c r="C15" s="19" t="s">
        <v>26</v>
      </c>
      <c r="D15" s="19" t="s">
        <v>21</v>
      </c>
      <c r="E15" s="19" t="s">
        <v>22</v>
      </c>
      <c r="F15" s="19">
        <v>40</v>
      </c>
      <c r="G15" s="19">
        <v>570</v>
      </c>
      <c r="H15" s="20"/>
      <c r="I15" s="21"/>
      <c r="J15" s="22"/>
      <c r="K15" s="23">
        <f t="shared" si="0"/>
        <v>0</v>
      </c>
      <c r="L15" s="24"/>
    </row>
    <row r="16" s="2" customFormat="1" ht="13" spans="1:12">
      <c r="A16" s="18">
        <v>8</v>
      </c>
      <c r="B16" s="19" t="s">
        <v>25</v>
      </c>
      <c r="C16" s="19" t="s">
        <v>26</v>
      </c>
      <c r="D16" s="19" t="s">
        <v>21</v>
      </c>
      <c r="E16" s="19" t="s">
        <v>22</v>
      </c>
      <c r="F16" s="19">
        <v>40</v>
      </c>
      <c r="G16" s="19">
        <v>312</v>
      </c>
      <c r="H16" s="20"/>
      <c r="I16" s="21"/>
      <c r="J16" s="22"/>
      <c r="K16" s="23">
        <f t="shared" si="0"/>
        <v>0</v>
      </c>
      <c r="L16" s="24"/>
    </row>
    <row r="17" s="2" customFormat="1" ht="13" spans="1:12">
      <c r="A17" s="18">
        <v>9</v>
      </c>
      <c r="B17" s="19" t="s">
        <v>27</v>
      </c>
      <c r="C17" s="19" t="s">
        <v>20</v>
      </c>
      <c r="D17" s="19" t="s">
        <v>28</v>
      </c>
      <c r="E17" s="19" t="s">
        <v>29</v>
      </c>
      <c r="F17" s="19">
        <v>40</v>
      </c>
      <c r="G17" s="19">
        <v>78</v>
      </c>
      <c r="H17" s="20"/>
      <c r="I17" s="21"/>
      <c r="J17" s="22"/>
      <c r="K17" s="23">
        <f t="shared" si="0"/>
        <v>0</v>
      </c>
      <c r="L17" s="24"/>
    </row>
    <row r="18" s="2" customFormat="1" ht="14" customHeight="1" spans="1:12">
      <c r="A18" s="18">
        <v>10</v>
      </c>
      <c r="B18" s="19" t="s">
        <v>27</v>
      </c>
      <c r="C18" s="19" t="s">
        <v>20</v>
      </c>
      <c r="D18" s="19" t="s">
        <v>28</v>
      </c>
      <c r="E18" s="19" t="s">
        <v>29</v>
      </c>
      <c r="F18" s="19">
        <v>40</v>
      </c>
      <c r="G18" s="19">
        <v>385</v>
      </c>
      <c r="H18" s="20"/>
      <c r="I18" s="21"/>
      <c r="J18" s="22"/>
      <c r="K18" s="23">
        <f t="shared" si="0"/>
        <v>0</v>
      </c>
      <c r="L18" s="24"/>
    </row>
    <row r="19" s="3" customFormat="1" ht="13" spans="1:12">
      <c r="A19" s="18">
        <v>11</v>
      </c>
      <c r="B19" s="19" t="s">
        <v>30</v>
      </c>
      <c r="C19" s="19" t="s">
        <v>26</v>
      </c>
      <c r="D19" s="19" t="s">
        <v>23</v>
      </c>
      <c r="E19" s="19" t="s">
        <v>22</v>
      </c>
      <c r="F19" s="19">
        <v>40</v>
      </c>
      <c r="G19" s="19">
        <v>810</v>
      </c>
      <c r="H19" s="20"/>
      <c r="I19" s="21"/>
      <c r="J19" s="22"/>
      <c r="K19" s="23">
        <f t="shared" si="0"/>
        <v>0</v>
      </c>
      <c r="L19" s="24"/>
    </row>
    <row r="20" s="3" customFormat="1" ht="13" spans="1:12">
      <c r="A20" s="18">
        <v>12</v>
      </c>
      <c r="B20" s="19" t="s">
        <v>30</v>
      </c>
      <c r="C20" s="19" t="s">
        <v>26</v>
      </c>
      <c r="D20" s="19" t="s">
        <v>23</v>
      </c>
      <c r="E20" s="19" t="s">
        <v>22</v>
      </c>
      <c r="F20" s="19">
        <v>40</v>
      </c>
      <c r="G20" s="19">
        <v>130</v>
      </c>
      <c r="H20" s="20"/>
      <c r="I20" s="21"/>
      <c r="J20" s="22"/>
      <c r="K20" s="23">
        <f t="shared" si="0"/>
        <v>0</v>
      </c>
      <c r="L20" s="24"/>
    </row>
    <row r="21" s="3" customFormat="1" ht="13" spans="1:12">
      <c r="A21" s="18">
        <v>13</v>
      </c>
      <c r="B21" s="19" t="s">
        <v>31</v>
      </c>
      <c r="C21" s="19" t="s">
        <v>20</v>
      </c>
      <c r="D21" s="19" t="s">
        <v>28</v>
      </c>
      <c r="E21" s="19" t="s">
        <v>29</v>
      </c>
      <c r="F21" s="19">
        <v>40</v>
      </c>
      <c r="G21" s="19">
        <v>40</v>
      </c>
      <c r="H21" s="25"/>
      <c r="I21" s="21"/>
      <c r="J21" s="22"/>
      <c r="K21" s="23">
        <f t="shared" si="0"/>
        <v>0</v>
      </c>
      <c r="L21" s="24"/>
    </row>
    <row r="22" s="3" customFormat="1" ht="13" spans="1:12">
      <c r="A22" s="18">
        <v>14</v>
      </c>
      <c r="B22" s="19" t="s">
        <v>31</v>
      </c>
      <c r="C22" s="19" t="s">
        <v>20</v>
      </c>
      <c r="D22" s="19" t="s">
        <v>28</v>
      </c>
      <c r="E22" s="19" t="s">
        <v>29</v>
      </c>
      <c r="F22" s="19">
        <v>40</v>
      </c>
      <c r="G22" s="19">
        <v>580</v>
      </c>
      <c r="H22" s="26"/>
      <c r="I22" s="21"/>
      <c r="J22" s="22"/>
      <c r="K22" s="23">
        <f t="shared" si="0"/>
        <v>0</v>
      </c>
      <c r="L22" s="24"/>
    </row>
    <row r="23" s="2" customFormat="1" ht="13" spans="1:12">
      <c r="A23" s="18">
        <v>15</v>
      </c>
      <c r="B23" s="19" t="s">
        <v>32</v>
      </c>
      <c r="C23" s="19" t="s">
        <v>20</v>
      </c>
      <c r="D23" s="19" t="s">
        <v>33</v>
      </c>
      <c r="E23" s="19" t="s">
        <v>34</v>
      </c>
      <c r="F23" s="19">
        <v>40</v>
      </c>
      <c r="G23" s="19">
        <v>6970</v>
      </c>
      <c r="H23" s="20"/>
      <c r="I23" s="21"/>
      <c r="J23" s="22"/>
      <c r="K23" s="23">
        <f t="shared" si="0"/>
        <v>0</v>
      </c>
      <c r="L23" s="24"/>
    </row>
    <row r="24" s="2" customFormat="1" ht="13" spans="1:12">
      <c r="A24" s="18">
        <v>16</v>
      </c>
      <c r="B24" s="19" t="s">
        <v>35</v>
      </c>
      <c r="C24" s="19" t="s">
        <v>26</v>
      </c>
      <c r="D24" s="19" t="s">
        <v>33</v>
      </c>
      <c r="E24" s="19" t="s">
        <v>34</v>
      </c>
      <c r="F24" s="19">
        <v>40</v>
      </c>
      <c r="G24" s="19">
        <v>2413</v>
      </c>
      <c r="H24" s="26"/>
      <c r="I24" s="21"/>
      <c r="J24" s="22"/>
      <c r="K24" s="23">
        <f t="shared" si="0"/>
        <v>0</v>
      </c>
      <c r="L24" s="24"/>
    </row>
    <row r="25" s="2" customFormat="1" ht="13" spans="1:12">
      <c r="A25" s="18">
        <v>17</v>
      </c>
      <c r="B25" s="19" t="s">
        <v>36</v>
      </c>
      <c r="C25" s="19" t="s">
        <v>20</v>
      </c>
      <c r="D25" s="19" t="s">
        <v>33</v>
      </c>
      <c r="E25" s="19" t="s">
        <v>34</v>
      </c>
      <c r="F25" s="19">
        <v>40</v>
      </c>
      <c r="G25" s="19">
        <v>2599</v>
      </c>
      <c r="H25" s="26"/>
      <c r="I25" s="21"/>
      <c r="J25" s="22"/>
      <c r="K25" s="23">
        <f t="shared" si="0"/>
        <v>0</v>
      </c>
      <c r="L25" s="24"/>
    </row>
    <row r="26" s="3" customFormat="1" ht="13" spans="1:12">
      <c r="A26" s="18">
        <v>18</v>
      </c>
      <c r="B26" s="19" t="s">
        <v>37</v>
      </c>
      <c r="C26" s="19" t="s">
        <v>38</v>
      </c>
      <c r="D26" s="19" t="s">
        <v>33</v>
      </c>
      <c r="E26" s="19" t="s">
        <v>34</v>
      </c>
      <c r="F26" s="19">
        <v>40</v>
      </c>
      <c r="G26" s="19">
        <v>640</v>
      </c>
      <c r="H26" s="20"/>
      <c r="I26" s="21"/>
      <c r="J26" s="22"/>
      <c r="K26" s="23">
        <f t="shared" si="0"/>
        <v>0</v>
      </c>
      <c r="L26" s="24"/>
    </row>
    <row r="27" s="4" customFormat="1" ht="27.5" customHeight="1" spans="1:12">
      <c r="A27" s="27" t="s">
        <v>39</v>
      </c>
      <c r="B27" s="27"/>
      <c r="C27" s="27"/>
      <c r="D27" s="27"/>
      <c r="E27" s="27"/>
      <c r="F27" s="27"/>
      <c r="G27" s="27"/>
      <c r="H27" s="27"/>
      <c r="I27" s="27"/>
      <c r="J27" s="27"/>
      <c r="K27" s="28">
        <f>SUM(K9:K26)</f>
        <v>0</v>
      </c>
      <c r="L27" s="29"/>
    </row>
  </sheetData>
  <autoFilter xmlns:etc="http://www.wps.cn/officeDocument/2017/etCustomData" ref="B8:K27" etc:filterBottomFollowUsedRange="0">
    <extLst/>
  </autoFilter>
  <mergeCells count="14">
    <mergeCell ref="A1:L1"/>
    <mergeCell ref="A2:B2"/>
    <mergeCell ref="C2:L2"/>
    <mergeCell ref="A3:B3"/>
    <mergeCell ref="C3:L3"/>
    <mergeCell ref="A4:B4"/>
    <mergeCell ref="C4:L4"/>
    <mergeCell ref="A5:B5"/>
    <mergeCell ref="C5:L5"/>
    <mergeCell ref="A6:B6"/>
    <mergeCell ref="C6:L6"/>
    <mergeCell ref="A7:L7"/>
    <mergeCell ref="A27:J27"/>
    <mergeCell ref="K27:L27"/>
  </mergeCells>
  <conditionalFormatting sqref="B27:C65536 B1:C1 B7:C8 C2:C6">
    <cfRule type="duplicateValues" dxfId="0" priority="1" stopIfTrue="1"/>
  </conditionalFormatting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小鬼</cp:lastModifiedBy>
  <dcterms:created xsi:type="dcterms:W3CDTF">2026-02-05T02:18:17Z</dcterms:created>
  <dcterms:modified xsi:type="dcterms:W3CDTF">2026-08-14T07:09:21Z</dcterms:modified>
</cp:coreProperties>
</file>